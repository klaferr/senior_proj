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fe\Desktop\spring_senior\research\"/>
    </mc:Choice>
  </mc:AlternateContent>
  <xr:revisionPtr revIDLastSave="0" documentId="13_ncr:1_{8BAA3AD8-DA20-4C42-8BB7-36D452CEB183}" xr6:coauthVersionLast="44" xr6:coauthVersionMax="44" xr10:uidLastSave="{00000000-0000-0000-0000-000000000000}"/>
  <bookViews>
    <workbookView xWindow="-110" yWindow="-110" windowWidth="19420" windowHeight="10420" xr2:uid="{156CD0BE-DC0F-41C5-BD10-EDFE871BC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" i="1" l="1"/>
  <c r="U4" i="1"/>
  <c r="U6" i="1"/>
  <c r="U7" i="1"/>
  <c r="U8" i="1"/>
  <c r="T3" i="1"/>
  <c r="T4" i="1"/>
  <c r="T6" i="1"/>
  <c r="T7" i="1"/>
  <c r="T8" i="1"/>
  <c r="U2" i="1"/>
  <c r="T2" i="1"/>
  <c r="R3" i="1"/>
  <c r="R4" i="1"/>
  <c r="R6" i="1"/>
  <c r="R7" i="1"/>
  <c r="R8" i="1"/>
  <c r="Q3" i="1"/>
  <c r="Q4" i="1"/>
  <c r="Q6" i="1"/>
  <c r="Q7" i="1"/>
  <c r="Q8" i="1"/>
  <c r="R2" i="1"/>
  <c r="Q2" i="1"/>
</calcChain>
</file>

<file path=xl/sharedStrings.xml><?xml version="1.0" encoding="utf-8"?>
<sst xmlns="http://schemas.openxmlformats.org/spreadsheetml/2006/main" count="30" uniqueCount="19">
  <si>
    <t>temp</t>
  </si>
  <si>
    <t>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</si>
  <si>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</si>
  <si>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</si>
  <si>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</si>
  <si>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</si>
  <si>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</si>
  <si>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</si>
  <si>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</si>
  <si>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</si>
  <si>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</si>
  <si>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</si>
  <si>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</si>
  <si>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</si>
  <si>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ibd %</t>
  </si>
  <si>
    <t>t13</t>
  </si>
  <si>
    <t>t14</t>
  </si>
  <si>
    <t>good methods</t>
  </si>
  <si>
    <t>best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</si>
</sst>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vs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Sheet1!$B$2:$O$2</c:f>
              <c:numCache>
                <c:formatCode>General</c:formatCode>
                <c:ptCount val="14"/>
                <c:pt idx="0">
                  <c:v>347</c:v>
                </c:pt>
                <c:pt idx="1">
                  <c:v>394</c:v>
                </c:pt>
                <c:pt idx="2">
                  <c:v>363</c:v>
                </c:pt>
                <c:pt idx="3">
                  <c:v>354</c:v>
                </c:pt>
                <c:pt idx="4">
                  <c:v>367</c:v>
                </c:pt>
                <c:pt idx="5">
                  <c:v>370</c:v>
                </c:pt>
                <c:pt idx="6">
                  <c:v>381</c:v>
                </c:pt>
                <c:pt idx="7">
                  <c:v>369</c:v>
                </c:pt>
                <c:pt idx="8">
                  <c:v>361</c:v>
                </c:pt>
                <c:pt idx="10">
                  <c:v>356</c:v>
                </c:pt>
                <c:pt idx="11">
                  <c:v>365</c:v>
                </c:pt>
                <c:pt idx="12">
                  <c:v>361</c:v>
                </c:pt>
                <c:pt idx="13">
                  <c:v>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5-4678-855F-080F3335985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Sheet1!$B$6:$O$6</c:f>
              <c:numCache>
                <c:formatCode>General</c:formatCode>
                <c:ptCount val="14"/>
                <c:pt idx="0">
                  <c:v>321</c:v>
                </c:pt>
                <c:pt idx="1">
                  <c:v>341</c:v>
                </c:pt>
                <c:pt idx="2">
                  <c:v>331</c:v>
                </c:pt>
                <c:pt idx="3">
                  <c:v>324</c:v>
                </c:pt>
                <c:pt idx="4">
                  <c:v>309</c:v>
                </c:pt>
                <c:pt idx="5">
                  <c:v>312</c:v>
                </c:pt>
                <c:pt idx="6">
                  <c:v>320</c:v>
                </c:pt>
                <c:pt idx="7">
                  <c:v>311</c:v>
                </c:pt>
                <c:pt idx="8">
                  <c:v>329</c:v>
                </c:pt>
                <c:pt idx="10">
                  <c:v>322</c:v>
                </c:pt>
                <c:pt idx="11">
                  <c:v>308</c:v>
                </c:pt>
                <c:pt idx="12">
                  <c:v>328</c:v>
                </c:pt>
                <c:pt idx="13">
                  <c:v>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5-4678-855F-080F33359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848976"/>
        <c:axId val="1677369280"/>
      </c:lineChart>
      <c:catAx>
        <c:axId val="185384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69280"/>
        <c:crosses val="autoZero"/>
        <c:auto val="1"/>
        <c:lblAlgn val="ctr"/>
        <c:lblOffset val="100"/>
        <c:noMultiLvlLbl val="0"/>
      </c:catAx>
      <c:valAx>
        <c:axId val="167736928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4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 vs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Sheet1!$B$3:$O$3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0.87</c:v>
                </c:pt>
                <c:pt idx="2">
                  <c:v>0.7</c:v>
                </c:pt>
                <c:pt idx="3">
                  <c:v>0.62</c:v>
                </c:pt>
                <c:pt idx="4">
                  <c:v>0.81</c:v>
                </c:pt>
                <c:pt idx="5">
                  <c:v>0.75</c:v>
                </c:pt>
                <c:pt idx="6">
                  <c:v>0.81</c:v>
                </c:pt>
                <c:pt idx="7">
                  <c:v>0.85</c:v>
                </c:pt>
                <c:pt idx="8">
                  <c:v>0.69499999999999995</c:v>
                </c:pt>
                <c:pt idx="10">
                  <c:v>0.64</c:v>
                </c:pt>
                <c:pt idx="11">
                  <c:v>0.71299999999999997</c:v>
                </c:pt>
                <c:pt idx="12">
                  <c:v>0.67949999999999999</c:v>
                </c:pt>
                <c:pt idx="1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0-4380-99E1-0397A19B214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Sheet1!$B$7:$O$7</c:f>
              <c:numCache>
                <c:formatCode>General</c:formatCode>
                <c:ptCount val="14"/>
                <c:pt idx="0">
                  <c:v>0.75</c:v>
                </c:pt>
                <c:pt idx="1">
                  <c:v>0.87</c:v>
                </c:pt>
                <c:pt idx="2">
                  <c:v>0.81</c:v>
                </c:pt>
                <c:pt idx="3">
                  <c:v>0.78</c:v>
                </c:pt>
                <c:pt idx="4">
                  <c:v>0.74</c:v>
                </c:pt>
                <c:pt idx="5">
                  <c:v>0.65</c:v>
                </c:pt>
                <c:pt idx="6">
                  <c:v>0.74</c:v>
                </c:pt>
                <c:pt idx="7">
                  <c:v>0.78</c:v>
                </c:pt>
                <c:pt idx="8">
                  <c:v>0.81499999999999995</c:v>
                </c:pt>
                <c:pt idx="10">
                  <c:v>0.76</c:v>
                </c:pt>
                <c:pt idx="11">
                  <c:v>0.58799999999999997</c:v>
                </c:pt>
                <c:pt idx="12">
                  <c:v>0.79900000000000004</c:v>
                </c:pt>
                <c:pt idx="1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A0-4380-99E1-0397A19B2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168256"/>
        <c:axId val="1926089568"/>
      </c:lineChart>
      <c:catAx>
        <c:axId val="1921168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89568"/>
        <c:crosses val="autoZero"/>
        <c:auto val="1"/>
        <c:lblAlgn val="ctr"/>
        <c:lblOffset val="100"/>
        <c:noMultiLvlLbl val="0"/>
      </c:catAx>
      <c:valAx>
        <c:axId val="1926089568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</a:t>
            </a:r>
            <a:r>
              <a:rPr lang="en-US" baseline="0"/>
              <a:t> vs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347</c:v>
                </c:pt>
                <c:pt idx="1">
                  <c:v>394</c:v>
                </c:pt>
                <c:pt idx="2">
                  <c:v>363</c:v>
                </c:pt>
                <c:pt idx="3">
                  <c:v>354</c:v>
                </c:pt>
                <c:pt idx="4">
                  <c:v>367</c:v>
                </c:pt>
                <c:pt idx="5">
                  <c:v>370</c:v>
                </c:pt>
                <c:pt idx="6">
                  <c:v>381</c:v>
                </c:pt>
                <c:pt idx="7">
                  <c:v>369</c:v>
                </c:pt>
                <c:pt idx="8">
                  <c:v>361</c:v>
                </c:pt>
                <c:pt idx="10">
                  <c:v>356</c:v>
                </c:pt>
                <c:pt idx="11">
                  <c:v>365</c:v>
                </c:pt>
                <c:pt idx="12">
                  <c:v>361</c:v>
                </c:pt>
                <c:pt idx="13">
                  <c:v>366</c:v>
                </c:pt>
              </c:numCache>
            </c:numRef>
          </c:xVal>
          <c:yVal>
            <c:numRef>
              <c:f>Sheet1!$B$3:$O$3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0.87</c:v>
                </c:pt>
                <c:pt idx="2">
                  <c:v>0.7</c:v>
                </c:pt>
                <c:pt idx="3">
                  <c:v>0.62</c:v>
                </c:pt>
                <c:pt idx="4">
                  <c:v>0.81</c:v>
                </c:pt>
                <c:pt idx="5">
                  <c:v>0.75</c:v>
                </c:pt>
                <c:pt idx="6">
                  <c:v>0.81</c:v>
                </c:pt>
                <c:pt idx="7">
                  <c:v>0.85</c:v>
                </c:pt>
                <c:pt idx="8">
                  <c:v>0.69499999999999995</c:v>
                </c:pt>
                <c:pt idx="10">
                  <c:v>0.64</c:v>
                </c:pt>
                <c:pt idx="11">
                  <c:v>0.71299999999999997</c:v>
                </c:pt>
                <c:pt idx="12">
                  <c:v>0.67949999999999999</c:v>
                </c:pt>
                <c:pt idx="13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E7-43C7-B8CE-E805C837F90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Sheet1!$B$6:$O$6</c:f>
              <c:numCache>
                <c:formatCode>General</c:formatCode>
                <c:ptCount val="14"/>
                <c:pt idx="0">
                  <c:v>321</c:v>
                </c:pt>
                <c:pt idx="1">
                  <c:v>341</c:v>
                </c:pt>
                <c:pt idx="2">
                  <c:v>331</c:v>
                </c:pt>
                <c:pt idx="3">
                  <c:v>324</c:v>
                </c:pt>
                <c:pt idx="4">
                  <c:v>309</c:v>
                </c:pt>
                <c:pt idx="5">
                  <c:v>312</c:v>
                </c:pt>
                <c:pt idx="6">
                  <c:v>320</c:v>
                </c:pt>
                <c:pt idx="7">
                  <c:v>311</c:v>
                </c:pt>
                <c:pt idx="8">
                  <c:v>329</c:v>
                </c:pt>
                <c:pt idx="10">
                  <c:v>322</c:v>
                </c:pt>
                <c:pt idx="11">
                  <c:v>308</c:v>
                </c:pt>
                <c:pt idx="12">
                  <c:v>328</c:v>
                </c:pt>
                <c:pt idx="13">
                  <c:v>309</c:v>
                </c:pt>
              </c:numCache>
            </c:numRef>
          </c:xVal>
          <c:yVal>
            <c:numRef>
              <c:f>Sheet1!$B$7:$O$7</c:f>
              <c:numCache>
                <c:formatCode>General</c:formatCode>
                <c:ptCount val="14"/>
                <c:pt idx="0">
                  <c:v>0.75</c:v>
                </c:pt>
                <c:pt idx="1">
                  <c:v>0.87</c:v>
                </c:pt>
                <c:pt idx="2">
                  <c:v>0.81</c:v>
                </c:pt>
                <c:pt idx="3">
                  <c:v>0.78</c:v>
                </c:pt>
                <c:pt idx="4">
                  <c:v>0.74</c:v>
                </c:pt>
                <c:pt idx="5">
                  <c:v>0.65</c:v>
                </c:pt>
                <c:pt idx="6">
                  <c:v>0.74</c:v>
                </c:pt>
                <c:pt idx="7">
                  <c:v>0.78</c:v>
                </c:pt>
                <c:pt idx="8">
                  <c:v>0.81499999999999995</c:v>
                </c:pt>
                <c:pt idx="10">
                  <c:v>0.76</c:v>
                </c:pt>
                <c:pt idx="11">
                  <c:v>0.58799999999999997</c:v>
                </c:pt>
                <c:pt idx="12">
                  <c:v>0.79900000000000004</c:v>
                </c:pt>
                <c:pt idx="13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E7-43C7-B8CE-E805C837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497888"/>
        <c:axId val="1926095808"/>
      </c:scatterChart>
      <c:valAx>
        <c:axId val="1924497888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95808"/>
        <c:crosses val="autoZero"/>
        <c:crossBetween val="midCat"/>
      </c:valAx>
      <c:valAx>
        <c:axId val="1926095808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9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IBD vs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6231432609385"/>
          <c:y val="0.24562913907284772"/>
          <c:w val="0.85148164171786223"/>
          <c:h val="0.60073994889711635"/>
        </c:manualLayout>
      </c:layout>
      <c:lineChart>
        <c:grouping val="standard"/>
        <c:varyColors val="0"/>
        <c:ser>
          <c:idx val="0"/>
          <c:order val="0"/>
          <c:tx>
            <c:v>6040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Sheet1!$B$4:$O$4</c:f>
              <c:numCache>
                <c:formatCode>General</c:formatCode>
                <c:ptCount val="14"/>
                <c:pt idx="0">
                  <c:v>4.01</c:v>
                </c:pt>
                <c:pt idx="1">
                  <c:v>5.53</c:v>
                </c:pt>
                <c:pt idx="2">
                  <c:v>2.27</c:v>
                </c:pt>
                <c:pt idx="3">
                  <c:v>3.32</c:v>
                </c:pt>
                <c:pt idx="4">
                  <c:v>2.41</c:v>
                </c:pt>
                <c:pt idx="5">
                  <c:v>2.4500000000000002</c:v>
                </c:pt>
                <c:pt idx="6">
                  <c:v>2.81</c:v>
                </c:pt>
                <c:pt idx="8">
                  <c:v>4.16</c:v>
                </c:pt>
                <c:pt idx="10">
                  <c:v>3.27</c:v>
                </c:pt>
                <c:pt idx="11">
                  <c:v>2.31</c:v>
                </c:pt>
                <c:pt idx="12">
                  <c:v>2.29</c:v>
                </c:pt>
                <c:pt idx="13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48-4FD3-90E0-6E543C15C27F}"/>
            </c:ext>
          </c:extLst>
        </c:ser>
        <c:ser>
          <c:idx val="1"/>
          <c:order val="1"/>
          <c:tx>
            <c:v>4030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Sheet1!$B$8:$O$8</c:f>
              <c:numCache>
                <c:formatCode>General</c:formatCode>
                <c:ptCount val="14"/>
                <c:pt idx="0">
                  <c:v>5.31</c:v>
                </c:pt>
                <c:pt idx="1">
                  <c:v>5.26</c:v>
                </c:pt>
                <c:pt idx="2">
                  <c:v>4.74</c:v>
                </c:pt>
                <c:pt idx="3">
                  <c:v>5.1100000000000003</c:v>
                </c:pt>
                <c:pt idx="4">
                  <c:v>5.41</c:v>
                </c:pt>
                <c:pt idx="5">
                  <c:v>4.91</c:v>
                </c:pt>
                <c:pt idx="6">
                  <c:v>4.8099999999999996</c:v>
                </c:pt>
                <c:pt idx="7">
                  <c:v>2.36</c:v>
                </c:pt>
                <c:pt idx="8">
                  <c:v>5.48</c:v>
                </c:pt>
                <c:pt idx="10">
                  <c:v>5.23</c:v>
                </c:pt>
                <c:pt idx="11">
                  <c:v>4.97</c:v>
                </c:pt>
                <c:pt idx="12">
                  <c:v>4.87</c:v>
                </c:pt>
                <c:pt idx="1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48-4FD3-90E0-6E543C15C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322704"/>
        <c:axId val="403205072"/>
      </c:lineChart>
      <c:catAx>
        <c:axId val="57332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05072"/>
        <c:crosses val="autoZero"/>
        <c:auto val="1"/>
        <c:lblAlgn val="ctr"/>
        <c:lblOffset val="100"/>
        <c:noMultiLvlLbl val="0"/>
      </c:catAx>
      <c:valAx>
        <c:axId val="4032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346075</xdr:colOff>
      <xdr:row>8</xdr:row>
      <xdr:rowOff>19050</xdr:rowOff>
    </xdr:from>
    <xdr:to>
      <xdr:col>5</xdr:col>
      <xdr:colOff>82550</xdr:colOff>
      <xdr:row>20</xdr:row>
      <xdr:rowOff>69856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3DFC0-AEE9-4991-BB1D-C0B2533B7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101599</xdr:colOff>
      <xdr:row>8</xdr:row>
      <xdr:rowOff>6350</xdr:rowOff>
    </xdr:from>
    <xdr:to>
      <xdr:col>9</xdr:col>
      <xdr:colOff>374650</xdr:colOff>
      <xdr:row>20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CD5F42-EBB8-4261-966A-C019F3CA6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380999</xdr:colOff>
      <xdr:row>8</xdr:row>
      <xdr:rowOff>25400</xdr:rowOff>
    </xdr:from>
    <xdr:to>
      <xdr:col>14</xdr:col>
      <xdr:colOff>228600</xdr:colOff>
      <xdr:row>20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D4C361-528B-4AD5-8B3B-80DC86E3D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266699</xdr:colOff>
      <xdr:row>9</xdr:row>
      <xdr:rowOff>19050</xdr:rowOff>
    </xdr:from>
    <xdr:to>
      <xdr:col>18</xdr:col>
      <xdr:colOff>428624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0DC3D0-4672-4AD8-B8A5-07FE4A325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E275-834E-4F29-87FF-F47CFDD0F9C7}">
  <dimension ref="A1:U8"/>
  <sheetViews>
    <sheetView tabSelected="1" topLeftCell="F1" workbookViewId="0">
      <selection activeCell="K3" sqref="K3"/>
    </sheetView>
  </sheetViews>
  <sheetFormatPr defaultRowHeight="14.5" x14ac:dyDescent="0.35"/>
  <sheetData>
    <row r="1" spans="1:21" x14ac:dyDescent="0.35">
      <c r="A1">
        <v>6040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1" t="s">
        <v>9</v>
      </c>
      <c r="J1" s="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Q1" t="s">
        <v>17</v>
      </c>
      <c r="T1" t="s">
        <v>18</v>
      </c>
    </row>
    <row r="2" spans="1:21" x14ac:dyDescent="0.35">
      <c r="A2" t="s">
        <v>0</v>
      </c>
      <c r="B2" s="1">
        <v>347</v>
      </c>
      <c r="C2" s="1">
        <v>394</v>
      </c>
      <c r="D2" s="1">
        <v>363</v>
      </c>
      <c r="E2" s="1">
        <v>354</v>
      </c>
      <c r="F2">
        <v>367</v>
      </c>
      <c r="G2">
        <v>370</v>
      </c>
      <c r="H2">
        <v>381</v>
      </c>
      <c r="I2" s="1">
        <v>369</v>
      </c>
      <c r="J2" s="1">
        <v>361</v>
      </c>
      <c r="L2" s="1">
        <v>356</v>
      </c>
      <c r="M2">
        <v>365</v>
      </c>
      <c r="N2" s="1">
        <v>361</v>
      </c>
      <c r="O2">
        <v>366</v>
      </c>
      <c r="Q2">
        <f>AVERAGE(F2:J2,M2,O2)</f>
        <v>368.42857142857144</v>
      </c>
      <c r="R2">
        <f>_xlfn.STDEV.P(F2:J2,M2,O2)</f>
        <v>5.8028845747399718</v>
      </c>
      <c r="T2">
        <f>AVERAGE(F2:H2,M2,O2)</f>
        <v>369.8</v>
      </c>
      <c r="U2">
        <f>_xlfn.STDEV.P(F2:H2,M2,O2)</f>
        <v>5.8446556784809829</v>
      </c>
    </row>
    <row r="3" spans="1:21" x14ac:dyDescent="0.35">
      <c r="A3" t="s">
        <v>1</v>
      </c>
      <c r="B3" s="1">
        <v>0.55000000000000004</v>
      </c>
      <c r="C3" s="1">
        <v>0.87</v>
      </c>
      <c r="D3" s="1">
        <v>0.7</v>
      </c>
      <c r="E3" s="1">
        <v>0.62</v>
      </c>
      <c r="F3">
        <v>0.81</v>
      </c>
      <c r="G3">
        <v>0.75</v>
      </c>
      <c r="H3">
        <v>0.81</v>
      </c>
      <c r="I3" s="1">
        <v>0.85</v>
      </c>
      <c r="J3" s="1">
        <v>0.69499999999999995</v>
      </c>
      <c r="L3" s="1">
        <v>0.64</v>
      </c>
      <c r="M3">
        <v>0.71299999999999997</v>
      </c>
      <c r="N3" s="1">
        <v>0.67949999999999999</v>
      </c>
      <c r="O3">
        <v>0.77</v>
      </c>
      <c r="Q3">
        <f t="shared" ref="Q3:Q8" si="0">AVERAGE(F3:J3,M3,O3)</f>
        <v>0.77114285714285713</v>
      </c>
      <c r="R3">
        <f t="shared" ref="R3:R8" si="1">_xlfn.STDEV.P(F3:J3,M3,O3)</f>
        <v>5.1913192849570883E-2</v>
      </c>
      <c r="T3">
        <f t="shared" ref="T3:T8" si="2">AVERAGE(F3:H3,M3,O3)</f>
        <v>0.77060000000000006</v>
      </c>
      <c r="U3">
        <f t="shared" ref="U3:U8" si="3">_xlfn.STDEV.P(F3:H3,M3,O3)</f>
        <v>3.7005945468262295E-2</v>
      </c>
    </row>
    <row r="4" spans="1:21" x14ac:dyDescent="0.35">
      <c r="A4" t="s">
        <v>14</v>
      </c>
      <c r="B4" s="1">
        <v>4.01</v>
      </c>
      <c r="C4" s="1">
        <v>5.53</v>
      </c>
      <c r="D4" s="1">
        <v>2.27</v>
      </c>
      <c r="E4" s="1">
        <v>3.32</v>
      </c>
      <c r="F4">
        <v>2.41</v>
      </c>
      <c r="G4">
        <v>2.4500000000000002</v>
      </c>
      <c r="H4">
        <v>2.81</v>
      </c>
      <c r="I4" s="1"/>
      <c r="J4" s="1">
        <v>4.16</v>
      </c>
      <c r="L4" s="1">
        <v>3.27</v>
      </c>
      <c r="M4">
        <v>2.31</v>
      </c>
      <c r="N4" s="1">
        <v>2.29</v>
      </c>
      <c r="O4">
        <v>3.53</v>
      </c>
      <c r="Q4">
        <f t="shared" si="0"/>
        <v>2.9450000000000003</v>
      </c>
      <c r="R4">
        <f t="shared" si="1"/>
        <v>0.6796015989779105</v>
      </c>
      <c r="T4">
        <f t="shared" si="2"/>
        <v>2.702</v>
      </c>
      <c r="U4">
        <f t="shared" si="3"/>
        <v>0.44714203559942672</v>
      </c>
    </row>
    <row r="5" spans="1:21" x14ac:dyDescent="0.35">
      <c r="A5">
        <v>4030</v>
      </c>
      <c r="B5" s="1" t="s">
        <v>2</v>
      </c>
      <c r="C5" s="1" t="s">
        <v>3</v>
      </c>
      <c r="D5" s="1" t="s">
        <v>4</v>
      </c>
      <c r="E5" s="1" t="s">
        <v>5</v>
      </c>
      <c r="F5" t="s">
        <v>6</v>
      </c>
      <c r="G5" t="s">
        <v>7</v>
      </c>
      <c r="H5" t="s">
        <v>8</v>
      </c>
      <c r="I5" s="1" t="s">
        <v>9</v>
      </c>
      <c r="J5" s="1"/>
      <c r="L5" s="1"/>
      <c r="N5" s="1"/>
    </row>
    <row r="6" spans="1:21" x14ac:dyDescent="0.35">
      <c r="A6" t="s">
        <v>0</v>
      </c>
      <c r="B6" s="1">
        <v>321</v>
      </c>
      <c r="C6" s="1">
        <v>341</v>
      </c>
      <c r="D6" s="1">
        <v>331</v>
      </c>
      <c r="E6" s="1">
        <v>324</v>
      </c>
      <c r="F6">
        <v>309</v>
      </c>
      <c r="G6">
        <v>312</v>
      </c>
      <c r="H6">
        <v>320</v>
      </c>
      <c r="I6" s="1">
        <v>311</v>
      </c>
      <c r="J6" s="1">
        <v>329</v>
      </c>
      <c r="L6" s="1">
        <v>322</v>
      </c>
      <c r="M6">
        <v>308</v>
      </c>
      <c r="N6" s="1">
        <v>328</v>
      </c>
      <c r="O6">
        <v>309</v>
      </c>
      <c r="Q6">
        <f t="shared" si="0"/>
        <v>314</v>
      </c>
      <c r="R6">
        <f t="shared" si="1"/>
        <v>7.1713716560063618</v>
      </c>
      <c r="T6">
        <f t="shared" si="2"/>
        <v>311.60000000000002</v>
      </c>
      <c r="U6">
        <f t="shared" si="3"/>
        <v>4.4090815370097207</v>
      </c>
    </row>
    <row r="7" spans="1:21" x14ac:dyDescent="0.35">
      <c r="A7" t="s">
        <v>1</v>
      </c>
      <c r="B7" s="1">
        <v>0.75</v>
      </c>
      <c r="C7" s="1">
        <v>0.87</v>
      </c>
      <c r="D7" s="1">
        <v>0.81</v>
      </c>
      <c r="E7" s="1">
        <v>0.78</v>
      </c>
      <c r="F7">
        <v>0.74</v>
      </c>
      <c r="G7">
        <v>0.65</v>
      </c>
      <c r="H7">
        <v>0.74</v>
      </c>
      <c r="I7" s="1">
        <v>0.78</v>
      </c>
      <c r="J7" s="1">
        <v>0.81499999999999995</v>
      </c>
      <c r="L7" s="1">
        <v>0.76</v>
      </c>
      <c r="M7">
        <v>0.58799999999999997</v>
      </c>
      <c r="N7" s="1">
        <v>0.79900000000000004</v>
      </c>
      <c r="O7">
        <v>0.64</v>
      </c>
      <c r="Q7">
        <f t="shared" si="0"/>
        <v>0.70757142857142852</v>
      </c>
      <c r="R7">
        <f t="shared" si="1"/>
        <v>7.6595145580713841E-2</v>
      </c>
      <c r="T7">
        <f t="shared" si="2"/>
        <v>0.67159999999999997</v>
      </c>
      <c r="U7">
        <f t="shared" si="3"/>
        <v>5.9684503851502362E-2</v>
      </c>
    </row>
    <row r="8" spans="1:21" x14ac:dyDescent="0.35">
      <c r="A8" t="s">
        <v>14</v>
      </c>
      <c r="B8" s="1">
        <v>5.31</v>
      </c>
      <c r="C8" s="1">
        <v>5.26</v>
      </c>
      <c r="D8" s="1">
        <v>4.74</v>
      </c>
      <c r="E8" s="1">
        <v>5.1100000000000003</v>
      </c>
      <c r="F8">
        <v>5.41</v>
      </c>
      <c r="G8">
        <v>4.91</v>
      </c>
      <c r="H8">
        <v>4.8099999999999996</v>
      </c>
      <c r="I8" s="1">
        <v>2.36</v>
      </c>
      <c r="J8" s="1">
        <v>5.48</v>
      </c>
      <c r="L8" s="1">
        <v>5.23</v>
      </c>
      <c r="M8">
        <v>4.97</v>
      </c>
      <c r="N8" s="1">
        <v>4.87</v>
      </c>
      <c r="O8">
        <v>5.5</v>
      </c>
      <c r="Q8">
        <f t="shared" si="0"/>
        <v>4.7771428571428567</v>
      </c>
      <c r="R8">
        <f t="shared" si="1"/>
        <v>1.0222903457533044</v>
      </c>
      <c r="T8">
        <f t="shared" si="2"/>
        <v>5.1199999999999992</v>
      </c>
      <c r="U8">
        <f t="shared" si="3"/>
        <v>0.2797141397927535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Laferriere</dc:creator>
  <cp:lastModifiedBy>Kris Laferriere</cp:lastModifiedBy>
  <dcterms:created xsi:type="dcterms:W3CDTF">2020-07-07T15:29:58Z</dcterms:created>
  <dcterms:modified xsi:type="dcterms:W3CDTF">2020-07-14T22:10:40Z</dcterms:modified>
</cp:coreProperties>
</file>